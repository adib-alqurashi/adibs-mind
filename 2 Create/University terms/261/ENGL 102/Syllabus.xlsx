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mc:AlternateContent xmlns:mc="http://schemas.openxmlformats.org/markup-compatibility/2006">
    <mc:Choice Requires="x15">
      <x15ac:absPath xmlns:x15ac="http://schemas.microsoft.com/office/spreadsheetml/2010/11/ac" url="https://kfupmedusa-my.sharepoint.com/personal/luke_delahunty_kfupm_edu_sa/Documents/Desktop/T261 New Course Material/"/>
    </mc:Choice>
  </mc:AlternateContent>
  <xr:revisionPtr revIDLastSave="0" documentId="8_{986E3691-31E1-4E03-8ED5-A7B2FB6F8D39}" xr6:coauthVersionLast="47" xr6:coauthVersionMax="47" xr10:uidLastSave="{00000000-0000-0000-0000-000000000000}"/>
  <bookViews>
    <workbookView xWindow="0" yWindow="0" windowWidth="19200" windowHeight="8140" xr2:uid="{0251D5B5-A788-3D40-BEEF-5E52E8D5774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2" i="1" l="1"/>
  <c r="B23" i="1" s="1"/>
  <c r="B24" i="1" s="1"/>
  <c r="B25" i="1" s="1"/>
  <c r="B26" i="1" s="1"/>
  <c r="B27" i="1" s="1"/>
  <c r="B28" i="1" s="1"/>
  <c r="B29" i="1" s="1"/>
  <c r="B30" i="1" s="1"/>
  <c r="B31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A34" i="1"/>
  <c r="A37" i="1" s="1"/>
  <c r="A40" i="1" s="1"/>
  <c r="B47" i="1" l="1"/>
  <c r="B48" i="1" s="1"/>
  <c r="B49" i="1" s="1"/>
  <c r="B50" i="1" s="1"/>
  <c r="B51" i="1" s="1"/>
  <c r="B52" i="1" s="1"/>
  <c r="B53" i="1" s="1"/>
  <c r="B54" i="1" s="1"/>
  <c r="A7" i="1"/>
  <c r="A10" i="1" s="1"/>
  <c r="A13" i="1" s="1"/>
  <c r="A16" i="1" s="1"/>
  <c r="A19" i="1" s="1"/>
  <c r="A22" i="1" s="1"/>
  <c r="A25" i="1" s="1"/>
  <c r="A28" i="1" s="1"/>
  <c r="C5" i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l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A43" i="1"/>
  <c r="A46" i="1" s="1"/>
  <c r="A49" i="1" s="1"/>
  <c r="A52" i="1" s="1"/>
  <c r="A55" i="1" s="1"/>
  <c r="C47" i="1" l="1"/>
  <c r="C48" i="1" s="1"/>
  <c r="C49" i="1" s="1"/>
  <c r="C50" i="1" s="1"/>
  <c r="C51" i="1" s="1"/>
  <c r="C52" i="1" s="1"/>
  <c r="C53" i="1" s="1"/>
  <c r="C54" i="1" l="1"/>
  <c r="C55" i="1" s="1"/>
  <c r="C56" i="1" s="1"/>
  <c r="C57" i="1" s="1"/>
</calcChain>
</file>

<file path=xl/sharedStrings.xml><?xml version="1.0" encoding="utf-8"?>
<sst xmlns="http://schemas.openxmlformats.org/spreadsheetml/2006/main" count="84" uniqueCount="75">
  <si>
    <r>
      <rPr>
        <b/>
        <sz val="18"/>
        <color rgb="FFFFFFFF"/>
        <rFont val="Poppins"/>
      </rPr>
      <t xml:space="preserve">ENGL 102 Course Schedule T261
</t>
    </r>
    <r>
      <rPr>
        <b/>
        <i/>
        <sz val="14"/>
        <color rgb="FF19FF87"/>
        <rFont val="Poppins"/>
      </rPr>
      <t>Note.</t>
    </r>
    <r>
      <rPr>
        <b/>
        <sz val="14"/>
        <color rgb="FF19FF87"/>
        <rFont val="Poppins"/>
      </rPr>
      <t xml:space="preserve"> Schedule subject to spontaneous revision (last update: October 15, 2026).</t>
    </r>
  </si>
  <si>
    <t>Week</t>
  </si>
  <si>
    <t>Class</t>
  </si>
  <si>
    <t>Date</t>
  </si>
  <si>
    <t>Lesson Content</t>
  </si>
  <si>
    <t>PDF/PPT</t>
  </si>
  <si>
    <t>Assessment / Submission</t>
  </si>
  <si>
    <t>Administration</t>
  </si>
  <si>
    <r>
      <t xml:space="preserve">Introduction to ENGL 102: </t>
    </r>
    <r>
      <rPr>
        <sz val="12"/>
        <color rgb="FF008540"/>
        <rFont val="Poppins"/>
      </rPr>
      <t>Course Overview and ELD Policies</t>
    </r>
  </si>
  <si>
    <r>
      <rPr>
        <b/>
        <sz val="12"/>
        <color rgb="FF008540"/>
        <rFont val="Poppins"/>
      </rPr>
      <t>Introduction to ENGL 102:</t>
    </r>
    <r>
      <rPr>
        <sz val="12"/>
        <color rgb="FF008540"/>
        <rFont val="Poppins"/>
      </rPr>
      <t xml:space="preserve"> Higher-order Thinking &amp; Essay Structure </t>
    </r>
  </si>
  <si>
    <t>Last day for registration confirmation</t>
  </si>
  <si>
    <r>
      <rPr>
        <b/>
        <sz val="12"/>
        <color rgb="FF000000"/>
        <rFont val="Poppins"/>
      </rPr>
      <t>Composition 1:</t>
    </r>
    <r>
      <rPr>
        <sz val="12"/>
        <color rgb="FF000000"/>
        <rFont val="Poppins"/>
      </rPr>
      <t xml:space="preserve"> Introductions - Setting the Context</t>
    </r>
  </si>
  <si>
    <r>
      <rPr>
        <b/>
        <sz val="12"/>
        <color rgb="FF000000"/>
        <rFont val="Poppins"/>
      </rPr>
      <t>Composition 2:</t>
    </r>
    <r>
      <rPr>
        <sz val="12"/>
        <color rgb="FF000000"/>
        <rFont val="Poppins"/>
      </rPr>
      <t xml:space="preserve"> Introductions - Thesis </t>
    </r>
  </si>
  <si>
    <r>
      <rPr>
        <b/>
        <sz val="12"/>
        <color rgb="FF000000"/>
        <rFont val="Poppins"/>
      </rPr>
      <t>Composition 3:</t>
    </r>
    <r>
      <rPr>
        <sz val="12"/>
        <color rgb="FF000000"/>
        <rFont val="Poppins"/>
      </rPr>
      <t xml:space="preserve"> Body Paragraphs - Structure &amp; Topic Sentences</t>
    </r>
  </si>
  <si>
    <r>
      <rPr>
        <b/>
        <sz val="12"/>
        <color rgb="FF000000"/>
        <rFont val="Poppins"/>
      </rPr>
      <t>Composition 4:</t>
    </r>
    <r>
      <rPr>
        <sz val="12"/>
        <color rgb="FF000000"/>
        <rFont val="Poppins"/>
      </rPr>
      <t xml:space="preserve"> Body Paragraphs - Supporting Sentences &amp; Citations</t>
    </r>
    <r>
      <rPr>
        <sz val="12"/>
        <color rgb="FF808080"/>
        <rFont val="Poppins"/>
      </rPr>
      <t xml:space="preserve"> </t>
    </r>
  </si>
  <si>
    <t>Last day for dropping course(s) without permanent record</t>
  </si>
  <si>
    <r>
      <rPr>
        <b/>
        <sz val="12"/>
        <color rgb="FF000000"/>
        <rFont val="Poppins"/>
      </rPr>
      <t>Composition 5:</t>
    </r>
    <r>
      <rPr>
        <sz val="12"/>
        <color rgb="FF000000"/>
        <rFont val="Poppins"/>
      </rPr>
      <t xml:space="preserve"> Body Paragraphs - Paraphrasing Purpose &amp; Strategies</t>
    </r>
  </si>
  <si>
    <r>
      <t xml:space="preserve">Paraphrase Test Preparation 1: </t>
    </r>
    <r>
      <rPr>
        <sz val="12"/>
        <color rgb="FFCA2A2A"/>
        <rFont val="Poppins"/>
      </rPr>
      <t>Format and Requirements</t>
    </r>
  </si>
  <si>
    <r>
      <t xml:space="preserve">Paraphrase Test Preparation 2: </t>
    </r>
    <r>
      <rPr>
        <sz val="12"/>
        <color rgb="FFCA2A2A"/>
        <rFont val="Poppins"/>
      </rPr>
      <t>Producing Effective Paraphrases</t>
    </r>
  </si>
  <si>
    <t>Paraphrase Test</t>
  </si>
  <si>
    <t>Paraphrase Test (10%)</t>
  </si>
  <si>
    <r>
      <rPr>
        <b/>
        <sz val="12"/>
        <color rgb="FF000000"/>
        <rFont val="Poppins"/>
      </rPr>
      <t>Composition 6:</t>
    </r>
    <r>
      <rPr>
        <sz val="12"/>
        <color rgb="FF000000"/>
        <rFont val="Poppins"/>
      </rPr>
      <t xml:space="preserve"> Body Paragraphs - Interpreting Evidence     </t>
    </r>
  </si>
  <si>
    <t xml:space="preserve">Pre-Reading Texts for PWT1 Released </t>
  </si>
  <si>
    <r>
      <rPr>
        <b/>
        <sz val="12"/>
        <rFont val="Poppins"/>
      </rPr>
      <t>Composition 7:</t>
    </r>
    <r>
      <rPr>
        <sz val="12"/>
        <rFont val="Poppins"/>
      </rPr>
      <t xml:space="preserve"> Conclusions - Considerations &amp; Recommendation</t>
    </r>
  </si>
  <si>
    <r>
      <t xml:space="preserve">Practice Writing Task 1: </t>
    </r>
    <r>
      <rPr>
        <sz val="12"/>
        <color rgb="FF00B0F0"/>
        <rFont val="Poppins"/>
      </rPr>
      <t>Initial Drafting</t>
    </r>
  </si>
  <si>
    <t>PWT1 Draft 1 (UG)</t>
  </si>
  <si>
    <r>
      <t xml:space="preserve">Composition 8: </t>
    </r>
    <r>
      <rPr>
        <sz val="12"/>
        <color rgb="FF000000"/>
        <rFont val="Poppins"/>
      </rPr>
      <t>Body Paragraphs - Developing Ideas</t>
    </r>
  </si>
  <si>
    <r>
      <rPr>
        <b/>
        <sz val="12"/>
        <color rgb="FF000000"/>
        <rFont val="Poppins"/>
      </rPr>
      <t>Composition 9:</t>
    </r>
    <r>
      <rPr>
        <sz val="12"/>
        <color rgb="FF000000"/>
        <rFont val="Poppins"/>
      </rPr>
      <t xml:space="preserve"> Body Paragraphs - Transforming Ideas</t>
    </r>
  </si>
  <si>
    <t>National Day Holiday</t>
  </si>
  <si>
    <r>
      <rPr>
        <b/>
        <sz val="12"/>
        <color rgb="FF00B0F0"/>
        <rFont val="Poppins"/>
      </rPr>
      <t>Practice Writing Task 1:</t>
    </r>
    <r>
      <rPr>
        <sz val="12"/>
        <color rgb="FF00B0F0"/>
        <rFont val="Poppins"/>
      </rPr>
      <t xml:space="preserve"> Feedback and Revision</t>
    </r>
  </si>
  <si>
    <t>PWT1 Draft 2 (UG, In Class)</t>
  </si>
  <si>
    <t>Feedback for PWT1 Released</t>
  </si>
  <si>
    <t>Instructor-Led Session 1</t>
  </si>
  <si>
    <r>
      <t xml:space="preserve">WT1 Preparation: </t>
    </r>
    <r>
      <rPr>
        <sz val="12"/>
        <color rgb="FFCA2A2A"/>
        <rFont val="Poppins"/>
      </rPr>
      <t>Format &amp; Strategy</t>
    </r>
    <r>
      <rPr>
        <b/>
        <sz val="12"/>
        <color rgb="FFCA2A2A"/>
        <rFont val="Poppins"/>
      </rPr>
      <t xml:space="preserve"> </t>
    </r>
  </si>
  <si>
    <r>
      <rPr>
        <b/>
        <sz val="12"/>
        <color rgb="FF00B0F0"/>
        <rFont val="Poppins"/>
      </rPr>
      <t xml:space="preserve">Writing Task 1 (15%) </t>
    </r>
    <r>
      <rPr>
        <sz val="12"/>
        <color rgb="FF00B0F0"/>
        <rFont val="Poppins"/>
      </rPr>
      <t>(Sat 03 Oct, 9:30 am)</t>
    </r>
  </si>
  <si>
    <t>No Class WT1</t>
  </si>
  <si>
    <r>
      <rPr>
        <b/>
        <sz val="12"/>
        <color rgb="FFAA8A00"/>
        <rFont val="Poppins"/>
      </rPr>
      <t>Critical Thinking 1:</t>
    </r>
    <r>
      <rPr>
        <sz val="12"/>
        <color rgb="FFAA8A00"/>
        <rFont val="Poppins"/>
      </rPr>
      <t xml:space="preserve"> Thinking About Thinking</t>
    </r>
  </si>
  <si>
    <r>
      <rPr>
        <b/>
        <sz val="12"/>
        <color rgb="FFAA8A00"/>
        <rFont val="Poppins"/>
      </rPr>
      <t>Critical Thinking 2:</t>
    </r>
    <r>
      <rPr>
        <sz val="12"/>
        <color rgb="FFAA8A00"/>
        <rFont val="Poppins"/>
      </rPr>
      <t xml:space="preserve"> Sound Reasoning</t>
    </r>
  </si>
  <si>
    <r>
      <rPr>
        <b/>
        <sz val="12"/>
        <color rgb="FFAA8A00"/>
        <rFont val="Poppins"/>
      </rPr>
      <t>Critical Thinking 3:</t>
    </r>
    <r>
      <rPr>
        <sz val="12"/>
        <color rgb="FFAA8A00"/>
        <rFont val="Poppins"/>
      </rPr>
      <t xml:space="preserve"> Generating &amp; Brainstorming Ideas</t>
    </r>
  </si>
  <si>
    <r>
      <rPr>
        <b/>
        <sz val="12"/>
        <color theme="1"/>
        <rFont val="Poppins"/>
      </rPr>
      <t>Composition 10:</t>
    </r>
    <r>
      <rPr>
        <sz val="12"/>
        <color theme="1"/>
        <rFont val="Poppins"/>
      </rPr>
      <t xml:space="preserve"> Arguing Against the Prompt</t>
    </r>
  </si>
  <si>
    <r>
      <rPr>
        <b/>
        <sz val="12"/>
        <color rgb="FFCA2A2A"/>
        <rFont val="Poppins"/>
      </rPr>
      <t xml:space="preserve">WT2 Preparation 1: </t>
    </r>
    <r>
      <rPr>
        <sz val="12"/>
        <color rgb="FFCA2A2A"/>
        <rFont val="Poppins"/>
      </rPr>
      <t xml:space="preserve">Identifying Appropriate Source Material </t>
    </r>
  </si>
  <si>
    <r>
      <rPr>
        <b/>
        <sz val="12"/>
        <color rgb="FFCA2A2A"/>
        <rFont val="Poppins"/>
      </rPr>
      <t xml:space="preserve">Final Exam Preparation: </t>
    </r>
    <r>
      <rPr>
        <sz val="12"/>
        <color rgb="FFCA2A2A"/>
        <rFont val="Poppins"/>
      </rPr>
      <t>Critical Thinking Quiz</t>
    </r>
  </si>
  <si>
    <t>Mid-Term Break</t>
  </si>
  <si>
    <r>
      <t xml:space="preserve">WT2 Preparation 2: </t>
    </r>
    <r>
      <rPr>
        <sz val="12"/>
        <color rgb="FFCA2A2A"/>
        <rFont val="Poppins"/>
      </rPr>
      <t>Brainstorming &amp; Planning</t>
    </r>
    <r>
      <rPr>
        <b/>
        <sz val="12"/>
        <color rgb="FFCA2A2A"/>
        <rFont val="Poppins"/>
      </rPr>
      <t xml:space="preserve"> </t>
    </r>
    <r>
      <rPr>
        <sz val="12"/>
        <color rgb="FFCA2A2A"/>
        <rFont val="Poppins"/>
      </rPr>
      <t>Practice</t>
    </r>
  </si>
  <si>
    <r>
      <rPr>
        <b/>
        <sz val="12"/>
        <color rgb="FF000000"/>
        <rFont val="Poppins"/>
      </rPr>
      <t>Composition 11:</t>
    </r>
    <r>
      <rPr>
        <sz val="12"/>
        <color rgb="FF000000"/>
        <rFont val="Poppins"/>
      </rPr>
      <t xml:space="preserve"> Counterarguments - Purpose &amp; Structure</t>
    </r>
  </si>
  <si>
    <r>
      <rPr>
        <b/>
        <sz val="12"/>
        <color rgb="FF000000"/>
        <rFont val="Poppins"/>
      </rPr>
      <t>Composition 12:</t>
    </r>
    <r>
      <rPr>
        <sz val="12"/>
        <color rgb="FF000000"/>
        <rFont val="Poppins"/>
      </rPr>
      <t xml:space="preserve"> Counterarguments - Practice &amp; Common Problems</t>
    </r>
  </si>
  <si>
    <r>
      <rPr>
        <b/>
        <sz val="12"/>
        <color rgb="FF00B0F0"/>
        <rFont val="Poppins"/>
      </rPr>
      <t xml:space="preserve">Writing Task 2 (20%) </t>
    </r>
    <r>
      <rPr>
        <sz val="12"/>
        <color rgb="FF00B0F0"/>
        <rFont val="Poppins"/>
      </rPr>
      <t>(Date: TBC)</t>
    </r>
  </si>
  <si>
    <t>Last day for dropping course(s) with grade of "W" through KFUPM Portal*</t>
  </si>
  <si>
    <r>
      <rPr>
        <b/>
        <sz val="12"/>
        <color rgb="FF000000"/>
        <rFont val="Poppins"/>
      </rPr>
      <t xml:space="preserve">Composition 13: </t>
    </r>
    <r>
      <rPr>
        <sz val="12"/>
        <color rgb="FF000000"/>
        <rFont val="Poppins"/>
      </rPr>
      <t>Counterarguments - Identifying Relevant Source Material</t>
    </r>
  </si>
  <si>
    <t xml:space="preserve">Prompt for PWT2 Set </t>
  </si>
  <si>
    <r>
      <rPr>
        <b/>
        <sz val="12"/>
        <color rgb="FFCA2A2A"/>
        <rFont val="Poppins"/>
      </rPr>
      <t xml:space="preserve">WT3 Preparation: </t>
    </r>
    <r>
      <rPr>
        <sz val="12"/>
        <color rgb="FFCA2A2A"/>
        <rFont val="Poppins"/>
      </rPr>
      <t>Requirements &amp;</t>
    </r>
    <r>
      <rPr>
        <b/>
        <sz val="12"/>
        <color rgb="FFCA2A2A"/>
        <rFont val="Poppins"/>
      </rPr>
      <t xml:space="preserve"> </t>
    </r>
    <r>
      <rPr>
        <sz val="12"/>
        <color rgb="FFCA2A2A"/>
        <rFont val="Poppins"/>
      </rPr>
      <t>Planning Practice</t>
    </r>
  </si>
  <si>
    <t>Instructor-Led Session 2</t>
  </si>
  <si>
    <t>PWT2 Submission (NG)</t>
  </si>
  <si>
    <r>
      <rPr>
        <b/>
        <sz val="12"/>
        <color rgb="FFFC4D0F"/>
        <rFont val="Poppins"/>
      </rPr>
      <t xml:space="preserve">Presentation 1: </t>
    </r>
    <r>
      <rPr>
        <sz val="12"/>
        <color rgb="FFFC4D0F"/>
        <rFont val="Poppins"/>
      </rPr>
      <t>Aim &amp; Preliminary Research</t>
    </r>
  </si>
  <si>
    <t>Presentation Topic Assigned</t>
  </si>
  <si>
    <r>
      <rPr>
        <b/>
        <sz val="12"/>
        <color rgb="FFFC4D0F"/>
        <rFont val="Poppins"/>
      </rPr>
      <t>Presentation 2:</t>
    </r>
    <r>
      <rPr>
        <sz val="12"/>
        <color rgb="FFFC4D0F"/>
        <rFont val="Poppins"/>
      </rPr>
      <t xml:space="preserve"> Content Focus &amp; Appropriate Sources</t>
    </r>
  </si>
  <si>
    <t>Finalize Topic for Oral Presentation</t>
  </si>
  <si>
    <r>
      <rPr>
        <b/>
        <sz val="12"/>
        <color rgb="FFFC4D0F"/>
        <rFont val="Poppins"/>
      </rPr>
      <t>Presentation 3:</t>
    </r>
    <r>
      <rPr>
        <sz val="12"/>
        <color rgb="FFFC4D0F"/>
        <rFont val="Poppins"/>
      </rPr>
      <t xml:space="preserve"> Source Evaluation &amp; Organizational Structure</t>
    </r>
  </si>
  <si>
    <r>
      <t xml:space="preserve">Presentation 4: </t>
    </r>
    <r>
      <rPr>
        <sz val="12"/>
        <color rgb="FFFC4D0F"/>
        <rFont val="Poppins"/>
      </rPr>
      <t>Using Generative AI to Guide Research</t>
    </r>
  </si>
  <si>
    <t>Submit Reasons for Oral Presentation</t>
  </si>
  <si>
    <t>Feedback for PWT2 Released</t>
  </si>
  <si>
    <r>
      <rPr>
        <b/>
        <sz val="12"/>
        <color rgb="FFFC4D0F"/>
        <rFont val="Poppins"/>
      </rPr>
      <t>Presentation 5:</t>
    </r>
    <r>
      <rPr>
        <sz val="12"/>
        <color rgb="FFFC4D0F"/>
        <rFont val="Poppins"/>
      </rPr>
      <t xml:space="preserve"> Slide Design, Language Use &amp; Presentation Delivery</t>
    </r>
  </si>
  <si>
    <r>
      <rPr>
        <b/>
        <sz val="12"/>
        <color rgb="FF00B0F0"/>
        <rFont val="Poppins"/>
      </rPr>
      <t xml:space="preserve">Writing Task 3 (25%) </t>
    </r>
    <r>
      <rPr>
        <sz val="12"/>
        <color rgb="FF00B0F0"/>
        <rFont val="Poppins"/>
      </rPr>
      <t>(Tue 17 Nov, 7:30pm)</t>
    </r>
  </si>
  <si>
    <t>No Class WT3</t>
  </si>
  <si>
    <t>Feedback on Reasons for Oral Presentation Released</t>
  </si>
  <si>
    <t>Autumn Break</t>
  </si>
  <si>
    <t>Instructor-Led Session 3</t>
  </si>
  <si>
    <r>
      <rPr>
        <b/>
        <sz val="12"/>
        <color rgb="FFCA2A2A"/>
        <rFont val="Poppins"/>
      </rPr>
      <t>Final Exam Preparation:</t>
    </r>
    <r>
      <rPr>
        <sz val="12"/>
        <color rgb="FFCA2A2A"/>
        <rFont val="Poppins"/>
      </rPr>
      <t xml:space="preserve"> Format &amp; Course Revision</t>
    </r>
  </si>
  <si>
    <t>Oral Presentation Schedule Released</t>
  </si>
  <si>
    <r>
      <rPr>
        <b/>
        <sz val="12"/>
        <color rgb="FFCA2A2A"/>
        <rFont val="Poppins"/>
      </rPr>
      <t>Mock Oral Presentation:</t>
    </r>
    <r>
      <rPr>
        <sz val="12"/>
        <color rgb="FFCA2A2A"/>
        <rFont val="Poppins"/>
      </rPr>
      <t xml:space="preserve"> Practice &amp; Peer Feedback </t>
    </r>
  </si>
  <si>
    <t>Peer Feedback Submission (UG)</t>
  </si>
  <si>
    <t>Oral Presentation</t>
  </si>
  <si>
    <t>Oral Presentation (15%)</t>
  </si>
  <si>
    <t>Last day for withdrawal from all courses with grade of "W"</t>
  </si>
  <si>
    <r>
      <t xml:space="preserve">Final Exam (15%) </t>
    </r>
    <r>
      <rPr>
        <sz val="12"/>
        <color rgb="FF00B0F0"/>
        <rFont val="Poppins"/>
      </rPr>
      <t>(Date: TBC)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</si>
</sst>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\ dd\ mmm"/>
  </numFmts>
  <fonts count="36">
    <font>
      <sz val="12"/>
      <color theme="1"/>
      <name val="Aptos Narrow"/>
      <family val="2"/>
      <scheme val="minor"/>
    </font>
    <font>
      <sz val="12"/>
      <color theme="1"/>
      <name val="Aptos"/>
    </font>
    <font>
      <sz val="12"/>
      <color theme="1"/>
      <name val="Aptos Narrow"/>
    </font>
    <font>
      <sz val="12"/>
      <color theme="1"/>
      <name val="Aptos Display"/>
    </font>
    <font>
      <sz val="12"/>
      <color theme="1"/>
      <name val="Aptos Display"/>
      <scheme val="major"/>
    </font>
    <font>
      <b/>
      <sz val="14"/>
      <color theme="0"/>
      <name val="Poppins"/>
    </font>
    <font>
      <b/>
      <sz val="12"/>
      <color theme="0"/>
      <name val="Poppins"/>
    </font>
    <font>
      <sz val="12"/>
      <color theme="1"/>
      <name val="Poppins"/>
    </font>
    <font>
      <b/>
      <sz val="12"/>
      <color theme="1" tint="0.249977111117893"/>
      <name val="Poppins"/>
    </font>
    <font>
      <b/>
      <sz val="12"/>
      <color theme="1"/>
      <name val="Poppins"/>
    </font>
    <font>
      <b/>
      <sz val="12"/>
      <color rgb="FFFF0000"/>
      <name val="Poppins"/>
    </font>
    <font>
      <sz val="12"/>
      <color theme="1" tint="0.249977111117893"/>
      <name val="Poppins"/>
    </font>
    <font>
      <sz val="12"/>
      <color rgb="FF000000"/>
      <name val="Poppins"/>
    </font>
    <font>
      <b/>
      <sz val="12"/>
      <color rgb="FF000000"/>
      <name val="Poppins"/>
    </font>
    <font>
      <sz val="12"/>
      <color rgb="FF808080"/>
      <name val="Poppins"/>
    </font>
    <font>
      <b/>
      <sz val="12"/>
      <color rgb="FFC00000"/>
      <name val="Poppins"/>
    </font>
    <font>
      <b/>
      <sz val="12"/>
      <color rgb="FFCA2A2A"/>
      <name val="Poppins"/>
    </font>
    <font>
      <sz val="12"/>
      <color rgb="FFCA2A2A"/>
      <name val="Poppins"/>
    </font>
    <font>
      <b/>
      <sz val="12"/>
      <color rgb="FF00B0F0"/>
      <name val="Poppins"/>
    </font>
    <font>
      <sz val="12"/>
      <name val="Poppins"/>
    </font>
    <font>
      <b/>
      <sz val="12"/>
      <name val="Poppins"/>
    </font>
    <font>
      <b/>
      <sz val="12"/>
      <color rgb="FF7030A0"/>
      <name val="Poppins"/>
    </font>
    <font>
      <sz val="12"/>
      <color rgb="FF7030A0"/>
      <name val="Poppins"/>
    </font>
    <font>
      <strike/>
      <sz val="12"/>
      <color rgb="FFFF0000"/>
      <name val="Poppins"/>
    </font>
    <font>
      <sz val="12"/>
      <color rgb="FFC00000"/>
      <name val="Poppins"/>
    </font>
    <font>
      <b/>
      <sz val="12"/>
      <color rgb="FF6957B8"/>
      <name val="Poppins"/>
    </font>
    <font>
      <b/>
      <sz val="12"/>
      <color rgb="FF008540"/>
      <name val="Poppins"/>
    </font>
    <font>
      <sz val="12"/>
      <color rgb="FF008540"/>
      <name val="Poppins"/>
    </font>
    <font>
      <sz val="12"/>
      <color rgb="FFFC4D0F"/>
      <name val="Poppins"/>
    </font>
    <font>
      <b/>
      <sz val="12"/>
      <color rgb="FFFC4D0F"/>
      <name val="Poppins"/>
    </font>
    <font>
      <sz val="12"/>
      <color rgb="FFAA8A00"/>
      <name val="Poppins"/>
    </font>
    <font>
      <b/>
      <sz val="12"/>
      <color rgb="FFAA8A00"/>
      <name val="Poppins"/>
    </font>
    <font>
      <b/>
      <sz val="18"/>
      <color rgb="FFFFFFFF"/>
      <name val="Poppins"/>
    </font>
    <font>
      <b/>
      <i/>
      <sz val="14"/>
      <color rgb="FF19FF87"/>
      <name val="Poppins"/>
    </font>
    <font>
      <b/>
      <sz val="14"/>
      <color rgb="FF19FF87"/>
      <name val="Poppins"/>
    </font>
    <font>
      <sz val="12"/>
      <color rgb="FF00B0F0"/>
      <name val="Poppins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573F"/>
        <bgColor indexed="64"/>
      </patternFill>
    </fill>
    <fill>
      <patternFill patternType="solid">
        <fgColor rgb="FF008540"/>
        <bgColor indexed="64"/>
      </patternFill>
    </fill>
  </fills>
  <borders count="29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  <border>
      <left style="thin">
        <color rgb="FFD4D4D4"/>
      </left>
      <right style="thin">
        <color rgb="FFD4D4D4"/>
      </right>
      <top/>
      <bottom style="thin">
        <color rgb="FFD4D4D4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/>
      <diagonal/>
    </border>
    <border>
      <left style="thin">
        <color rgb="FFD4D4D4"/>
      </left>
      <right/>
      <top style="thin">
        <color rgb="FFD4D4D4"/>
      </top>
      <bottom style="thin">
        <color rgb="FFD4D4D4"/>
      </bottom>
      <diagonal/>
    </border>
    <border>
      <left/>
      <right style="thin">
        <color rgb="FFD4D4D4"/>
      </right>
      <top style="thin">
        <color rgb="FFD4D4D4"/>
      </top>
      <bottom style="thin">
        <color rgb="FFD4D4D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D4D4D4"/>
      </right>
      <top/>
      <bottom style="thin">
        <color rgb="FFD4D4D4"/>
      </bottom>
      <diagonal/>
    </border>
    <border>
      <left style="medium">
        <color indexed="64"/>
      </left>
      <right style="thin">
        <color rgb="FFD4D4D4"/>
      </right>
      <top style="thin">
        <color rgb="FFD4D4D4"/>
      </top>
      <bottom style="thin">
        <color rgb="FFD4D4D4"/>
      </bottom>
      <diagonal/>
    </border>
    <border>
      <left style="thin">
        <color rgb="FFD4D4D4"/>
      </left>
      <right style="medium">
        <color indexed="64"/>
      </right>
      <top style="thin">
        <color rgb="FFD4D4D4"/>
      </top>
      <bottom style="thin">
        <color rgb="FFD4D4D4"/>
      </bottom>
      <diagonal/>
    </border>
    <border>
      <left style="medium">
        <color indexed="64"/>
      </left>
      <right style="thin">
        <color rgb="FFD4D4D4"/>
      </right>
      <top style="thin">
        <color rgb="FFD4D4D4"/>
      </top>
      <bottom/>
      <diagonal/>
    </border>
    <border>
      <left style="medium">
        <color indexed="64"/>
      </left>
      <right style="thin">
        <color rgb="FFD4D4D4"/>
      </right>
      <top/>
      <bottom/>
      <diagonal/>
    </border>
    <border>
      <left/>
      <right style="medium">
        <color indexed="64"/>
      </right>
      <top style="thin">
        <color rgb="FFD4D4D4"/>
      </top>
      <bottom style="thin">
        <color rgb="FFD4D4D4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medium">
        <color indexed="64"/>
      </bottom>
      <diagonal/>
    </border>
    <border>
      <left style="thin">
        <color rgb="FFD4D4D4"/>
      </left>
      <right style="medium">
        <color indexed="64"/>
      </right>
      <top style="thin">
        <color rgb="FFD4D4D4"/>
      </top>
      <bottom style="medium">
        <color indexed="64"/>
      </bottom>
      <diagonal/>
    </border>
    <border>
      <left style="thin">
        <color rgb="FFD4D4D4"/>
      </left>
      <right style="medium">
        <color indexed="64"/>
      </right>
      <top style="thin">
        <color rgb="FFD4D4D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rgb="FFD4D4D4"/>
      </top>
      <bottom style="thin">
        <color rgb="FFD4D4D4"/>
      </bottom>
      <diagonal/>
    </border>
    <border>
      <left style="thin">
        <color rgb="FFD4D4D4"/>
      </left>
      <right style="medium">
        <color indexed="64"/>
      </right>
      <top/>
      <bottom style="thin">
        <color rgb="FFD4D4D4"/>
      </bottom>
      <diagonal/>
    </border>
    <border>
      <left style="thin">
        <color rgb="FFD4D4D4"/>
      </left>
      <right style="thin">
        <color rgb="FFD4D4D4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 style="medium">
        <color indexed="64"/>
      </left>
      <right style="thin">
        <color rgb="FFD4D4D4"/>
      </right>
      <top style="thin">
        <color theme="0"/>
      </top>
      <bottom style="thin">
        <color theme="0"/>
      </bottom>
      <diagonal/>
    </border>
    <border>
      <left style="thin">
        <color rgb="FFD4D4D4"/>
      </left>
      <right style="medium">
        <color indexed="64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7" fillId="0" borderId="1" xfId="0" applyNumberFormat="1" applyFont="1" applyBorder="1" applyAlignment="1">
      <alignment horizontal="center" vertical="center"/>
    </xf>
    <xf numFmtId="1" fontId="9" fillId="2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64" fontId="7" fillId="0" borderId="5" xfId="0" applyNumberFormat="1" applyFont="1" applyBorder="1" applyAlignment="1">
      <alignment horizontal="center" vertical="center"/>
    </xf>
    <xf numFmtId="1" fontId="7" fillId="3" borderId="2" xfId="0" applyNumberFormat="1" applyFont="1" applyFill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 vertical="center"/>
    </xf>
    <xf numFmtId="1" fontId="9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vertical="center"/>
    </xf>
    <xf numFmtId="0" fontId="12" fillId="3" borderId="1" xfId="0" applyFont="1" applyFill="1" applyBorder="1" applyAlignment="1">
      <alignment vertical="center" wrapText="1"/>
    </xf>
    <xf numFmtId="1" fontId="7" fillId="0" borderId="1" xfId="0" applyNumberFormat="1" applyFont="1" applyBorder="1" applyAlignment="1">
      <alignment horizontal="center" vertical="center"/>
    </xf>
    <xf numFmtId="0" fontId="12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1" fontId="7" fillId="2" borderId="1" xfId="0" applyNumberFormat="1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vertical="center"/>
    </xf>
    <xf numFmtId="0" fontId="20" fillId="2" borderId="10" xfId="0" applyFont="1" applyFill="1" applyBorder="1" applyAlignment="1">
      <alignment vertical="center"/>
    </xf>
    <xf numFmtId="0" fontId="13" fillId="3" borderId="1" xfId="0" applyFont="1" applyFill="1" applyBorder="1" applyAlignment="1">
      <alignment vertical="center"/>
    </xf>
    <xf numFmtId="0" fontId="15" fillId="3" borderId="1" xfId="0" applyFont="1" applyFill="1" applyBorder="1" applyAlignment="1">
      <alignment horizontal="center" vertical="center"/>
    </xf>
    <xf numFmtId="1" fontId="9" fillId="3" borderId="10" xfId="0" applyNumberFormat="1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vertical="center"/>
    </xf>
    <xf numFmtId="1" fontId="7" fillId="3" borderId="4" xfId="0" applyNumberFormat="1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vertical="center"/>
    </xf>
    <xf numFmtId="0" fontId="7" fillId="2" borderId="10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23" fillId="3" borderId="3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1" fontId="9" fillId="2" borderId="10" xfId="0" applyNumberFormat="1" applyFont="1" applyFill="1" applyBorder="1" applyAlignment="1">
      <alignment horizontal="center" vertical="center"/>
    </xf>
    <xf numFmtId="164" fontId="7" fillId="0" borderId="4" xfId="0" applyNumberFormat="1" applyFont="1" applyBorder="1" applyAlignment="1">
      <alignment horizontal="center" vertical="center"/>
    </xf>
    <xf numFmtId="0" fontId="16" fillId="2" borderId="1" xfId="0" applyFont="1" applyFill="1" applyBorder="1" applyAlignment="1">
      <alignment vertical="center" wrapText="1"/>
    </xf>
    <xf numFmtId="1" fontId="9" fillId="2" borderId="4" xfId="0" applyNumberFormat="1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7" fillId="2" borderId="13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vertical="center"/>
    </xf>
    <xf numFmtId="1" fontId="19" fillId="3" borderId="1" xfId="0" applyNumberFormat="1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164" fontId="19" fillId="0" borderId="1" xfId="0" applyNumberFormat="1" applyFont="1" applyBorder="1" applyAlignment="1">
      <alignment horizontal="center" vertical="center"/>
    </xf>
    <xf numFmtId="0" fontId="24" fillId="3" borderId="1" xfId="0" applyFont="1" applyFill="1" applyBorder="1" applyAlignment="1">
      <alignment vertical="center"/>
    </xf>
    <xf numFmtId="0" fontId="19" fillId="3" borderId="10" xfId="0" applyFont="1" applyFill="1" applyBorder="1" applyAlignment="1">
      <alignment horizontal="center" vertical="center"/>
    </xf>
    <xf numFmtId="164" fontId="7" fillId="3" borderId="3" xfId="0" applyNumberFormat="1" applyFont="1" applyFill="1" applyBorder="1" applyAlignment="1">
      <alignment horizontal="center" vertical="center"/>
    </xf>
    <xf numFmtId="1" fontId="7" fillId="3" borderId="3" xfId="0" applyNumberFormat="1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" fontId="7" fillId="3" borderId="14" xfId="0" applyNumberFormat="1" applyFont="1" applyFill="1" applyBorder="1" applyAlignment="1">
      <alignment horizontal="center" vertical="center"/>
    </xf>
    <xf numFmtId="164" fontId="7" fillId="3" borderId="14" xfId="0" applyNumberFormat="1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6" fillId="3" borderId="1" xfId="0" applyFont="1" applyFill="1" applyBorder="1" applyAlignment="1">
      <alignment horizontal="left" vertical="center" wrapText="1"/>
    </xf>
    <xf numFmtId="0" fontId="18" fillId="3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8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18" fillId="2" borderId="1" xfId="0" applyFont="1" applyFill="1" applyBorder="1" applyAlignment="1">
      <alignment horizontal="left" vertical="center"/>
    </xf>
    <xf numFmtId="0" fontId="18" fillId="3" borderId="1" xfId="0" applyFont="1" applyFill="1" applyBorder="1" applyAlignment="1">
      <alignment horizontal="left" vertical="center"/>
    </xf>
    <xf numFmtId="0" fontId="17" fillId="2" borderId="1" xfId="0" applyFont="1" applyFill="1" applyBorder="1" applyAlignment="1">
      <alignment vertical="center"/>
    </xf>
    <xf numFmtId="0" fontId="17" fillId="3" borderId="1" xfId="0" applyFont="1" applyFill="1" applyBorder="1" applyAlignment="1">
      <alignment vertical="center"/>
    </xf>
    <xf numFmtId="0" fontId="25" fillId="2" borderId="1" xfId="0" applyFont="1" applyFill="1" applyBorder="1" applyAlignment="1">
      <alignment vertical="center"/>
    </xf>
    <xf numFmtId="0" fontId="25" fillId="3" borderId="1" xfId="0" applyFont="1" applyFill="1" applyBorder="1" applyAlignment="1">
      <alignment vertical="center"/>
    </xf>
    <xf numFmtId="0" fontId="26" fillId="2" borderId="1" xfId="0" applyFont="1" applyFill="1" applyBorder="1" applyAlignment="1">
      <alignment vertical="center"/>
    </xf>
    <xf numFmtId="0" fontId="27" fillId="3" borderId="0" xfId="0" applyFont="1" applyFill="1" applyAlignment="1">
      <alignment vertical="center"/>
    </xf>
    <xf numFmtId="0" fontId="28" fillId="3" borderId="1" xfId="0" applyFont="1" applyFill="1" applyBorder="1" applyAlignment="1">
      <alignment vertical="center"/>
    </xf>
    <xf numFmtId="0" fontId="28" fillId="2" borderId="1" xfId="0" applyFont="1" applyFill="1" applyBorder="1" applyAlignment="1">
      <alignment vertical="center"/>
    </xf>
    <xf numFmtId="0" fontId="18" fillId="3" borderId="2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29" fillId="3" borderId="1" xfId="0" applyFont="1" applyFill="1" applyBorder="1" applyAlignment="1">
      <alignment vertical="center"/>
    </xf>
    <xf numFmtId="0" fontId="30" fillId="3" borderId="1" xfId="0" applyFont="1" applyFill="1" applyBorder="1" applyAlignment="1">
      <alignment vertical="center"/>
    </xf>
    <xf numFmtId="1" fontId="7" fillId="0" borderId="2" xfId="0" applyNumberFormat="1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/>
    </xf>
    <xf numFmtId="0" fontId="8" fillId="2" borderId="2" xfId="0" applyFont="1" applyFill="1" applyBorder="1" applyAlignment="1">
      <alignment vertical="center"/>
    </xf>
    <xf numFmtId="1" fontId="9" fillId="2" borderId="2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6" fillId="6" borderId="20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35" fillId="2" borderId="1" xfId="0" applyFont="1" applyFill="1" applyBorder="1" applyAlignment="1">
      <alignment vertical="center"/>
    </xf>
    <xf numFmtId="0" fontId="30" fillId="2" borderId="1" xfId="0" applyFont="1" applyFill="1" applyBorder="1" applyAlignment="1">
      <alignment vertical="center"/>
    </xf>
    <xf numFmtId="0" fontId="6" fillId="6" borderId="27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vertical="center"/>
    </xf>
    <xf numFmtId="0" fontId="16" fillId="2" borderId="3" xfId="0" applyFont="1" applyFill="1" applyBorder="1" applyAlignment="1">
      <alignment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3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21" xfId="0" applyFont="1" applyFill="1" applyBorder="1" applyAlignment="1">
      <alignment horizontal="center" vertical="center"/>
    </xf>
    <xf numFmtId="0" fontId="5" fillId="5" borderId="26" xfId="0" applyFont="1" applyFill="1" applyBorder="1" applyAlignment="1">
      <alignment horizontal="center" vertical="center"/>
    </xf>
    <xf numFmtId="1" fontId="7" fillId="0" borderId="8" xfId="0" applyNumberFormat="1" applyFont="1" applyBorder="1" applyAlignment="1">
      <alignment horizontal="center" vertical="center"/>
    </xf>
    <xf numFmtId="1" fontId="7" fillId="0" borderId="9" xfId="0" applyNumberFormat="1" applyFont="1" applyBorder="1" applyAlignment="1">
      <alignment horizontal="center" vertical="center"/>
    </xf>
    <xf numFmtId="1" fontId="7" fillId="0" borderId="18" xfId="0" applyNumberFormat="1" applyFont="1" applyBorder="1" applyAlignment="1">
      <alignment horizontal="center" vertical="center"/>
    </xf>
    <xf numFmtId="1" fontId="7" fillId="3" borderId="9" xfId="0" applyNumberFormat="1" applyFont="1" applyFill="1" applyBorder="1" applyAlignment="1">
      <alignment horizontal="center" vertical="center"/>
    </xf>
    <xf numFmtId="1" fontId="7" fillId="0" borderId="11" xfId="0" applyNumberFormat="1" applyFont="1" applyBorder="1" applyAlignment="1">
      <alignment horizontal="center" vertical="center"/>
    </xf>
    <xf numFmtId="1" fontId="7" fillId="0" borderId="12" xfId="0" applyNumberFormat="1" applyFont="1" applyBorder="1" applyAlignment="1">
      <alignment horizontal="center" vertical="center"/>
    </xf>
    <xf numFmtId="1" fontId="7" fillId="3" borderId="6" xfId="0" applyNumberFormat="1" applyFont="1" applyFill="1" applyBorder="1" applyAlignment="1">
      <alignment horizontal="center" vertical="center"/>
    </xf>
    <xf numFmtId="1" fontId="7" fillId="3" borderId="17" xfId="0" applyNumberFormat="1" applyFont="1" applyFill="1" applyBorder="1" applyAlignment="1">
      <alignment horizontal="center" vertical="center"/>
    </xf>
    <xf numFmtId="1" fontId="7" fillId="3" borderId="11" xfId="0" applyNumberFormat="1" applyFont="1" applyFill="1" applyBorder="1" applyAlignment="1">
      <alignment horizontal="center" vertical="center"/>
    </xf>
    <xf numFmtId="1" fontId="7" fillId="3" borderId="12" xfId="0" applyNumberFormat="1" applyFont="1" applyFill="1" applyBorder="1" applyAlignment="1">
      <alignment horizontal="center" vertical="center"/>
    </xf>
    <xf numFmtId="1" fontId="7" fillId="3" borderId="8" xfId="0" applyNumberFormat="1" applyFont="1" applyFill="1" applyBorder="1" applyAlignment="1">
      <alignment horizontal="center" vertical="center"/>
    </xf>
    <xf numFmtId="1" fontId="7" fillId="0" borderId="6" xfId="0" applyNumberFormat="1" applyFont="1" applyBorder="1" applyAlignment="1">
      <alignment horizontal="center" vertical="center"/>
    </xf>
    <xf numFmtId="1" fontId="7" fillId="2" borderId="11" xfId="0" applyNumberFormat="1" applyFont="1" applyFill="1" applyBorder="1" applyAlignment="1">
      <alignment horizontal="center" vertical="center"/>
    </xf>
    <xf numFmtId="1" fontId="7" fillId="2" borderId="12" xfId="0" applyNumberFormat="1" applyFont="1" applyFill="1" applyBorder="1" applyAlignment="1">
      <alignment horizontal="center" vertical="center"/>
    </xf>
    <xf numFmtId="1" fontId="7" fillId="2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A2A2A"/>
      <color rgb="FFB9FFDA"/>
      <color rgb="FFAA8A00"/>
      <color rgb="FFDAC961"/>
      <color rgb="FF00497A"/>
      <color rgb="FFFC4D0F"/>
      <color rgb="FF008540"/>
      <color rgb="FF19FF87"/>
      <color rgb="FF00573F"/>
      <color rgb="FF0933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98605-DE2B-854A-861C-707E11F2E753}">
  <dimension ref="A1:G57"/>
  <sheetViews>
    <sheetView tabSelected="1" zoomScale="55" zoomScaleNormal="55" workbookViewId="0">
      <selection activeCell="A31" sqref="A31:XFD31"/>
    </sheetView>
  </sheetViews>
  <sheetFormatPr defaultColWidth="11" defaultRowHeight="18" customHeight="1"/>
  <cols>
    <col min="1" max="2" width="6.125" style="4" customWidth="1"/>
    <col min="3" max="3" width="11.875" style="4" customWidth="1"/>
    <col min="4" max="4" width="78.25" style="2" customWidth="1"/>
    <col min="5" max="5" width="8.75" style="1" bestFit="1" customWidth="1"/>
    <col min="6" max="6" width="44.5" style="2" bestFit="1" customWidth="1"/>
    <col min="7" max="7" width="75.25" style="2" customWidth="1"/>
  </cols>
  <sheetData>
    <row r="1" spans="1:7" ht="15.75">
      <c r="A1" s="111" t="s">
        <v>0</v>
      </c>
      <c r="B1" s="112"/>
      <c r="C1" s="112"/>
      <c r="D1" s="112"/>
      <c r="E1" s="112"/>
      <c r="F1" s="112"/>
      <c r="G1" s="113"/>
    </row>
    <row r="2" spans="1:7" ht="48.95" customHeight="1">
      <c r="A2" s="114"/>
      <c r="B2" s="115"/>
      <c r="C2" s="115"/>
      <c r="D2" s="115"/>
      <c r="E2" s="115"/>
      <c r="F2" s="115"/>
      <c r="G2" s="116"/>
    </row>
    <row r="3" spans="1:7" s="3" customFormat="1" ht="18" customHeight="1">
      <c r="A3" s="106" t="s">
        <v>1</v>
      </c>
      <c r="B3" s="100" t="s">
        <v>2</v>
      </c>
      <c r="C3" s="100" t="s">
        <v>3</v>
      </c>
      <c r="D3" s="100" t="s">
        <v>4</v>
      </c>
      <c r="E3" s="100" t="s">
        <v>5</v>
      </c>
      <c r="F3" s="100" t="s">
        <v>6</v>
      </c>
      <c r="G3" s="107" t="s">
        <v>7</v>
      </c>
    </row>
    <row r="4" spans="1:7" ht="20.100000000000001" customHeight="1">
      <c r="A4" s="117">
        <v>1</v>
      </c>
      <c r="B4" s="94"/>
      <c r="C4" s="95">
        <v>46250</v>
      </c>
      <c r="D4" s="96"/>
      <c r="E4" s="97"/>
      <c r="F4" s="98"/>
      <c r="G4" s="99"/>
    </row>
    <row r="5" spans="1:7" ht="20.100000000000001" customHeight="1">
      <c r="A5" s="118"/>
      <c r="B5" s="70"/>
      <c r="C5" s="5">
        <f>C4+2</f>
        <v>46252</v>
      </c>
      <c r="D5" s="71"/>
      <c r="E5" s="6"/>
      <c r="F5" s="7"/>
      <c r="G5" s="8"/>
    </row>
    <row r="6" spans="1:7" ht="20.100000000000001" customHeight="1">
      <c r="A6" s="119"/>
      <c r="B6" s="9">
        <v>1</v>
      </c>
      <c r="C6" s="10">
        <f>C5+2</f>
        <v>46254</v>
      </c>
      <c r="D6" s="84" t="s">
        <v>8</v>
      </c>
      <c r="E6" s="6">
        <v>1</v>
      </c>
      <c r="F6" s="7"/>
      <c r="G6" s="8"/>
    </row>
    <row r="7" spans="1:7" ht="20.100000000000001" customHeight="1">
      <c r="A7" s="120">
        <f>A4+1</f>
        <v>2</v>
      </c>
      <c r="B7" s="11">
        <f t="shared" ref="B7:B15" si="0">B6+1</f>
        <v>2</v>
      </c>
      <c r="C7" s="12">
        <f>C6+3</f>
        <v>46257</v>
      </c>
      <c r="D7" s="85" t="s">
        <v>9</v>
      </c>
      <c r="E7" s="13">
        <v>2</v>
      </c>
      <c r="F7" s="14"/>
      <c r="G7" s="15" t="s">
        <v>10</v>
      </c>
    </row>
    <row r="8" spans="1:7" ht="20.100000000000001" customHeight="1">
      <c r="A8" s="120"/>
      <c r="B8" s="16">
        <f t="shared" si="0"/>
        <v>3</v>
      </c>
      <c r="C8" s="12">
        <f>C7+2</f>
        <v>46259</v>
      </c>
      <c r="D8" s="17" t="s">
        <v>11</v>
      </c>
      <c r="E8" s="13">
        <v>3</v>
      </c>
      <c r="F8" s="14"/>
      <c r="G8" s="15"/>
    </row>
    <row r="9" spans="1:7" ht="20.100000000000001" customHeight="1">
      <c r="A9" s="120"/>
      <c r="B9" s="16">
        <f t="shared" si="0"/>
        <v>4</v>
      </c>
      <c r="C9" s="12">
        <f>C8+2</f>
        <v>46261</v>
      </c>
      <c r="D9" s="18" t="s">
        <v>12</v>
      </c>
      <c r="E9" s="13">
        <v>4</v>
      </c>
      <c r="F9" s="14"/>
      <c r="G9" s="15"/>
    </row>
    <row r="10" spans="1:7" ht="20.100000000000001" customHeight="1">
      <c r="A10" s="121">
        <f t="shared" ref="A10" si="1">A7+1</f>
        <v>3</v>
      </c>
      <c r="B10" s="19">
        <f t="shared" si="0"/>
        <v>5</v>
      </c>
      <c r="C10" s="5">
        <f>C9+3</f>
        <v>46264</v>
      </c>
      <c r="D10" s="20" t="s">
        <v>13</v>
      </c>
      <c r="E10" s="6">
        <v>5</v>
      </c>
      <c r="F10" s="7"/>
      <c r="G10" s="8"/>
    </row>
    <row r="11" spans="1:7" ht="20.100000000000001" customHeight="1">
      <c r="A11" s="122"/>
      <c r="B11" s="19">
        <f t="shared" si="0"/>
        <v>6</v>
      </c>
      <c r="C11" s="5">
        <f>C10+2</f>
        <v>46266</v>
      </c>
      <c r="D11" s="21" t="s">
        <v>14</v>
      </c>
      <c r="E11" s="6">
        <v>6</v>
      </c>
      <c r="F11" s="72"/>
      <c r="G11" s="8" t="s">
        <v>15</v>
      </c>
    </row>
    <row r="12" spans="1:7" ht="20.100000000000001" customHeight="1">
      <c r="A12" s="117"/>
      <c r="B12" s="19">
        <f t="shared" si="0"/>
        <v>7</v>
      </c>
      <c r="C12" s="5">
        <f>C11+2</f>
        <v>46268</v>
      </c>
      <c r="D12" s="22" t="s">
        <v>16</v>
      </c>
      <c r="E12" s="6">
        <v>7</v>
      </c>
      <c r="F12" s="23"/>
      <c r="G12" s="8"/>
    </row>
    <row r="13" spans="1:7" ht="20.100000000000001" customHeight="1">
      <c r="A13" s="125">
        <f t="shared" ref="A13" si="2">A10+1</f>
        <v>4</v>
      </c>
      <c r="B13" s="16">
        <f t="shared" si="0"/>
        <v>8</v>
      </c>
      <c r="C13" s="12">
        <f>C12+3</f>
        <v>46271</v>
      </c>
      <c r="D13" s="73" t="s">
        <v>17</v>
      </c>
      <c r="E13" s="13">
        <v>8</v>
      </c>
      <c r="F13" s="24"/>
      <c r="G13" s="15"/>
    </row>
    <row r="14" spans="1:7" ht="20.100000000000001" customHeight="1">
      <c r="A14" s="126"/>
      <c r="B14" s="16">
        <f t="shared" si="0"/>
        <v>9</v>
      </c>
      <c r="C14" s="12">
        <f>C13+2</f>
        <v>46273</v>
      </c>
      <c r="D14" s="73" t="s">
        <v>18</v>
      </c>
      <c r="E14" s="13">
        <v>9</v>
      </c>
      <c r="F14" s="14"/>
      <c r="G14" s="15"/>
    </row>
    <row r="15" spans="1:7" ht="20.100000000000001" customHeight="1">
      <c r="A15" s="127"/>
      <c r="B15" s="16">
        <f t="shared" si="0"/>
        <v>10</v>
      </c>
      <c r="C15" s="12">
        <f>C14+2</f>
        <v>46275</v>
      </c>
      <c r="D15" s="74" t="s">
        <v>19</v>
      </c>
      <c r="E15" s="16"/>
      <c r="F15" s="24" t="s">
        <v>20</v>
      </c>
      <c r="G15" s="25"/>
    </row>
    <row r="16" spans="1:7" ht="20.100000000000001" customHeight="1">
      <c r="A16" s="121">
        <f t="shared" ref="A16" si="3">A13+1</f>
        <v>5</v>
      </c>
      <c r="B16" s="26">
        <f>B15+1</f>
        <v>11</v>
      </c>
      <c r="C16" s="27">
        <f>C15+3</f>
        <v>46278</v>
      </c>
      <c r="D16" s="75" t="s">
        <v>21</v>
      </c>
      <c r="E16" s="6">
        <v>10</v>
      </c>
      <c r="F16" s="28"/>
      <c r="G16" s="29" t="s">
        <v>22</v>
      </c>
    </row>
    <row r="17" spans="1:7" ht="20.100000000000001" customHeight="1">
      <c r="A17" s="122"/>
      <c r="B17" s="26">
        <f t="shared" ref="B17:B50" si="4">B16+1</f>
        <v>12</v>
      </c>
      <c r="C17" s="5">
        <f>C16+2</f>
        <v>46280</v>
      </c>
      <c r="D17" s="30" t="s">
        <v>23</v>
      </c>
      <c r="E17" s="6">
        <v>11</v>
      </c>
      <c r="F17" s="28"/>
      <c r="G17" s="8"/>
    </row>
    <row r="18" spans="1:7" ht="20.100000000000001" customHeight="1">
      <c r="A18" s="117"/>
      <c r="B18" s="26">
        <f t="shared" si="4"/>
        <v>13</v>
      </c>
      <c r="C18" s="5">
        <f>C17+2</f>
        <v>46282</v>
      </c>
      <c r="D18" s="76" t="s">
        <v>24</v>
      </c>
      <c r="E18" s="6"/>
      <c r="F18" s="89" t="s">
        <v>25</v>
      </c>
      <c r="G18" s="31"/>
    </row>
    <row r="19" spans="1:7" ht="20.100000000000001" customHeight="1">
      <c r="A19" s="125">
        <f t="shared" ref="A19" si="5">A16+1</f>
        <v>6</v>
      </c>
      <c r="B19" s="16">
        <f t="shared" si="4"/>
        <v>14</v>
      </c>
      <c r="C19" s="12">
        <f>C18+3</f>
        <v>46285</v>
      </c>
      <c r="D19" s="32" t="s">
        <v>26</v>
      </c>
      <c r="E19" s="13">
        <v>12</v>
      </c>
      <c r="F19" s="33"/>
      <c r="G19" s="34"/>
    </row>
    <row r="20" spans="1:7" ht="20.100000000000001" customHeight="1">
      <c r="A20" s="126"/>
      <c r="B20" s="16">
        <f t="shared" si="4"/>
        <v>15</v>
      </c>
      <c r="C20" s="12">
        <f>C19+2</f>
        <v>46287</v>
      </c>
      <c r="D20" s="17" t="s">
        <v>27</v>
      </c>
      <c r="E20" s="13">
        <v>13</v>
      </c>
      <c r="F20" s="35"/>
      <c r="G20" s="25"/>
    </row>
    <row r="21" spans="1:7" ht="20.100000000000001" customHeight="1">
      <c r="A21" s="127"/>
      <c r="B21" s="16"/>
      <c r="C21" s="12">
        <f>C20+2</f>
        <v>46289</v>
      </c>
      <c r="D21" s="36" t="s">
        <v>28</v>
      </c>
      <c r="E21" s="37"/>
      <c r="F21" s="35"/>
      <c r="G21" s="38"/>
    </row>
    <row r="22" spans="1:7" ht="20.100000000000001" customHeight="1">
      <c r="A22" s="121">
        <f t="shared" ref="A22" si="6">A19+1</f>
        <v>7</v>
      </c>
      <c r="B22" s="26">
        <f>B20+1</f>
        <v>16</v>
      </c>
      <c r="C22" s="5">
        <f>C21+3</f>
        <v>46292</v>
      </c>
      <c r="D22" s="104" t="s">
        <v>29</v>
      </c>
      <c r="E22" s="6"/>
      <c r="F22" s="103" t="s">
        <v>30</v>
      </c>
      <c r="G22" s="29" t="s">
        <v>31</v>
      </c>
    </row>
    <row r="23" spans="1:7" ht="20.100000000000001" customHeight="1">
      <c r="A23" s="122"/>
      <c r="B23" s="26">
        <f t="shared" si="4"/>
        <v>17</v>
      </c>
      <c r="C23" s="5">
        <f>C22+2</f>
        <v>46294</v>
      </c>
      <c r="D23" s="82" t="s">
        <v>32</v>
      </c>
      <c r="E23" s="6"/>
      <c r="F23" s="44"/>
      <c r="G23" s="29"/>
    </row>
    <row r="24" spans="1:7" ht="20.100000000000001" customHeight="1">
      <c r="A24" s="117"/>
      <c r="B24" s="26">
        <f t="shared" si="4"/>
        <v>18</v>
      </c>
      <c r="C24" s="5">
        <f>C23+2</f>
        <v>46296</v>
      </c>
      <c r="D24" s="39" t="s">
        <v>33</v>
      </c>
      <c r="E24" s="6">
        <v>14</v>
      </c>
      <c r="F24" s="56" t="s">
        <v>34</v>
      </c>
      <c r="G24" s="29"/>
    </row>
    <row r="25" spans="1:7" ht="20.100000000000001" customHeight="1">
      <c r="A25" s="125">
        <f t="shared" ref="A25" si="7">A22+1</f>
        <v>8</v>
      </c>
      <c r="B25" s="16">
        <f t="shared" si="4"/>
        <v>19</v>
      </c>
      <c r="C25" s="12">
        <f>C24+3</f>
        <v>46299</v>
      </c>
      <c r="D25" s="36" t="s">
        <v>35</v>
      </c>
      <c r="E25" s="13"/>
      <c r="F25" s="41"/>
      <c r="G25" s="15"/>
    </row>
    <row r="26" spans="1:7" ht="20.100000000000001" customHeight="1">
      <c r="A26" s="126"/>
      <c r="B26" s="16">
        <f t="shared" si="4"/>
        <v>20</v>
      </c>
      <c r="C26" s="12">
        <f>C25+2</f>
        <v>46301</v>
      </c>
      <c r="D26" s="93" t="s">
        <v>36</v>
      </c>
      <c r="E26" s="13">
        <v>15</v>
      </c>
      <c r="F26" s="42"/>
      <c r="G26" s="15"/>
    </row>
    <row r="27" spans="1:7" ht="20.100000000000001" customHeight="1">
      <c r="A27" s="127"/>
      <c r="B27" s="16">
        <f t="shared" si="4"/>
        <v>21</v>
      </c>
      <c r="C27" s="12">
        <f>C26+2</f>
        <v>46303</v>
      </c>
      <c r="D27" s="93" t="s">
        <v>37</v>
      </c>
      <c r="E27" s="13">
        <v>16</v>
      </c>
      <c r="F27" s="43"/>
      <c r="G27" s="15"/>
    </row>
    <row r="28" spans="1:7" ht="20.100000000000001" customHeight="1">
      <c r="A28" s="129">
        <f t="shared" ref="A28" si="8">A25+1</f>
        <v>9</v>
      </c>
      <c r="B28" s="26">
        <f t="shared" si="4"/>
        <v>22</v>
      </c>
      <c r="C28" s="5">
        <f>C27+3</f>
        <v>46306</v>
      </c>
      <c r="D28" s="105" t="s">
        <v>38</v>
      </c>
      <c r="E28" s="6">
        <v>17</v>
      </c>
      <c r="F28" s="44"/>
      <c r="G28" s="45"/>
    </row>
    <row r="29" spans="1:7" ht="20.100000000000001" customHeight="1">
      <c r="A29" s="130"/>
      <c r="B29" s="26">
        <f t="shared" si="4"/>
        <v>23</v>
      </c>
      <c r="C29" s="46">
        <f>C28+2</f>
        <v>46308</v>
      </c>
      <c r="D29" s="21" t="s">
        <v>39</v>
      </c>
      <c r="E29" s="48">
        <v>18</v>
      </c>
      <c r="F29" s="49"/>
      <c r="G29" s="50"/>
    </row>
    <row r="30" spans="1:7" ht="20.100000000000001" customHeight="1">
      <c r="A30" s="131"/>
      <c r="B30" s="26">
        <f t="shared" si="4"/>
        <v>24</v>
      </c>
      <c r="C30" s="5">
        <f>C29+2</f>
        <v>46310</v>
      </c>
      <c r="D30" s="47" t="s">
        <v>40</v>
      </c>
      <c r="E30" s="48">
        <v>19</v>
      </c>
      <c r="F30" s="44"/>
      <c r="G30" s="40"/>
    </row>
    <row r="31" spans="1:7" ht="20.100000000000001" customHeight="1">
      <c r="A31" s="125">
        <v>10</v>
      </c>
      <c r="B31" s="16">
        <f>B30+1</f>
        <v>25</v>
      </c>
      <c r="C31" s="12">
        <f>C30+3</f>
        <v>46313</v>
      </c>
      <c r="D31" s="109" t="s">
        <v>41</v>
      </c>
      <c r="E31" s="13"/>
      <c r="F31" s="109"/>
      <c r="G31" s="25"/>
    </row>
    <row r="32" spans="1:7" ht="20.100000000000001" customHeight="1">
      <c r="A32" s="126"/>
      <c r="B32" s="16"/>
      <c r="C32" s="12">
        <f>C31+2</f>
        <v>46315</v>
      </c>
      <c r="D32" s="36" t="s">
        <v>42</v>
      </c>
      <c r="E32" s="13"/>
      <c r="F32" s="42"/>
      <c r="G32" s="25"/>
    </row>
    <row r="33" spans="1:7" ht="20.100000000000001" customHeight="1">
      <c r="A33" s="127"/>
      <c r="B33" s="16"/>
      <c r="C33" s="12">
        <f>C32+2</f>
        <v>46317</v>
      </c>
      <c r="D33" s="36" t="s">
        <v>42</v>
      </c>
      <c r="E33" s="13"/>
      <c r="F33" s="51"/>
      <c r="G33" s="15"/>
    </row>
    <row r="34" spans="1:7" ht="20.100000000000001" customHeight="1">
      <c r="A34" s="129">
        <f>A31+1</f>
        <v>11</v>
      </c>
      <c r="B34" s="26">
        <f>B31+1</f>
        <v>26</v>
      </c>
      <c r="C34" s="27">
        <f>C33+3</f>
        <v>46320</v>
      </c>
      <c r="D34" s="110" t="s">
        <v>43</v>
      </c>
      <c r="E34" s="6">
        <v>20</v>
      </c>
      <c r="F34" s="52"/>
      <c r="G34" s="29"/>
    </row>
    <row r="35" spans="1:7" ht="20.100000000000001" customHeight="1">
      <c r="A35" s="130"/>
      <c r="B35" s="26">
        <f t="shared" si="4"/>
        <v>27</v>
      </c>
      <c r="C35" s="27">
        <f>C34+2</f>
        <v>46322</v>
      </c>
      <c r="D35" s="22" t="s">
        <v>44</v>
      </c>
      <c r="E35" s="6">
        <v>21</v>
      </c>
      <c r="F35" s="77"/>
      <c r="G35" s="29"/>
    </row>
    <row r="36" spans="1:7" ht="23.25">
      <c r="A36" s="131"/>
      <c r="B36" s="26">
        <f t="shared" si="4"/>
        <v>28</v>
      </c>
      <c r="C36" s="27">
        <f>C35+2</f>
        <v>46324</v>
      </c>
      <c r="D36" s="20" t="s">
        <v>45</v>
      </c>
      <c r="E36" s="6">
        <v>22</v>
      </c>
      <c r="F36" s="108" t="s">
        <v>46</v>
      </c>
      <c r="G36" s="40" t="s">
        <v>47</v>
      </c>
    </row>
    <row r="37" spans="1:7" ht="20.100000000000001" customHeight="1">
      <c r="A37" s="125">
        <f>A34+1</f>
        <v>12</v>
      </c>
      <c r="B37" s="16">
        <f t="shared" si="4"/>
        <v>29</v>
      </c>
      <c r="C37" s="12">
        <f>C36+3</f>
        <v>46327</v>
      </c>
      <c r="D37" s="17" t="s">
        <v>48</v>
      </c>
      <c r="E37" s="13">
        <v>23</v>
      </c>
      <c r="F37" s="53"/>
      <c r="G37" s="25" t="s">
        <v>49</v>
      </c>
    </row>
    <row r="38" spans="1:7" ht="20.100000000000001" customHeight="1">
      <c r="A38" s="126"/>
      <c r="B38" s="16">
        <f t="shared" si="4"/>
        <v>30</v>
      </c>
      <c r="C38" s="12">
        <f>C37+2</f>
        <v>46329</v>
      </c>
      <c r="D38" s="81" t="s">
        <v>50</v>
      </c>
      <c r="E38" s="13">
        <v>24</v>
      </c>
      <c r="F38" s="42"/>
      <c r="G38" s="34"/>
    </row>
    <row r="39" spans="1:7" ht="20.100000000000001" customHeight="1">
      <c r="A39" s="127"/>
      <c r="B39" s="16">
        <f t="shared" si="4"/>
        <v>31</v>
      </c>
      <c r="C39" s="12">
        <f>C38+2</f>
        <v>46331</v>
      </c>
      <c r="D39" s="83" t="s">
        <v>51</v>
      </c>
      <c r="E39" s="13"/>
      <c r="F39" s="91" t="s">
        <v>52</v>
      </c>
      <c r="G39" s="34"/>
    </row>
    <row r="40" spans="1:7" ht="20.100000000000001" customHeight="1">
      <c r="A40" s="121">
        <f>A37+1</f>
        <v>13</v>
      </c>
      <c r="B40" s="26">
        <f t="shared" si="4"/>
        <v>32</v>
      </c>
      <c r="C40" s="27">
        <f>C39+3</f>
        <v>46334</v>
      </c>
      <c r="D40" s="87" t="s">
        <v>53</v>
      </c>
      <c r="E40" s="6">
        <v>25</v>
      </c>
      <c r="F40" s="89"/>
      <c r="G40" s="29" t="s">
        <v>54</v>
      </c>
    </row>
    <row r="41" spans="1:7" ht="20.100000000000001" customHeight="1">
      <c r="A41" s="122"/>
      <c r="B41" s="26">
        <f t="shared" si="4"/>
        <v>33</v>
      </c>
      <c r="C41" s="27">
        <f>C40+2</f>
        <v>46336</v>
      </c>
      <c r="D41" s="87" t="s">
        <v>55</v>
      </c>
      <c r="E41" s="6">
        <v>26</v>
      </c>
      <c r="F41" s="90" t="s">
        <v>56</v>
      </c>
      <c r="G41" s="29"/>
    </row>
    <row r="42" spans="1:7" ht="20.100000000000001" customHeight="1">
      <c r="A42" s="117"/>
      <c r="B42" s="26">
        <f t="shared" si="4"/>
        <v>34</v>
      </c>
      <c r="C42" s="5">
        <f>C41+2</f>
        <v>46338</v>
      </c>
      <c r="D42" s="87" t="s">
        <v>57</v>
      </c>
      <c r="E42" s="6">
        <v>27</v>
      </c>
      <c r="F42" s="90"/>
      <c r="G42" s="29"/>
    </row>
    <row r="43" spans="1:7" ht="20.100000000000001" customHeight="1">
      <c r="A43" s="125">
        <f>A40+1</f>
        <v>14</v>
      </c>
      <c r="B43" s="16">
        <f t="shared" si="4"/>
        <v>35</v>
      </c>
      <c r="C43" s="12">
        <f>C42+3</f>
        <v>46341</v>
      </c>
      <c r="D43" s="92" t="s">
        <v>58</v>
      </c>
      <c r="E43" s="13">
        <v>28</v>
      </c>
      <c r="F43" s="91" t="s">
        <v>59</v>
      </c>
      <c r="G43" s="34" t="s">
        <v>60</v>
      </c>
    </row>
    <row r="44" spans="1:7" ht="20.100000000000001" customHeight="1">
      <c r="A44" s="126"/>
      <c r="B44" s="16">
        <f t="shared" si="4"/>
        <v>36</v>
      </c>
      <c r="C44" s="12">
        <f>C43+2</f>
        <v>46343</v>
      </c>
      <c r="D44" s="86" t="s">
        <v>61</v>
      </c>
      <c r="E44" s="13">
        <v>29</v>
      </c>
      <c r="F44" s="88" t="s">
        <v>62</v>
      </c>
      <c r="G44" s="25"/>
    </row>
    <row r="45" spans="1:7" ht="20.100000000000001" customHeight="1">
      <c r="A45" s="127"/>
      <c r="B45" s="16">
        <f t="shared" si="4"/>
        <v>37</v>
      </c>
      <c r="C45" s="12">
        <f>C44+2</f>
        <v>46345</v>
      </c>
      <c r="D45" s="36" t="s">
        <v>63</v>
      </c>
      <c r="E45" s="55"/>
      <c r="F45" s="24"/>
      <c r="G45" s="25" t="s">
        <v>64</v>
      </c>
    </row>
    <row r="46" spans="1:7" ht="20.100000000000001" customHeight="1">
      <c r="A46" s="121">
        <f>A43+1</f>
        <v>15</v>
      </c>
      <c r="B46" s="26"/>
      <c r="C46" s="5">
        <f>C45+3</f>
        <v>46348</v>
      </c>
      <c r="D46" s="36" t="s">
        <v>65</v>
      </c>
      <c r="E46" s="26"/>
      <c r="F46" s="56"/>
      <c r="G46" s="40"/>
    </row>
    <row r="47" spans="1:7" ht="20.100000000000001" customHeight="1">
      <c r="A47" s="122"/>
      <c r="B47" s="26">
        <f>B45+1</f>
        <v>38</v>
      </c>
      <c r="C47" s="57">
        <f>C46+2</f>
        <v>46350</v>
      </c>
      <c r="D47" s="82" t="s">
        <v>66</v>
      </c>
      <c r="E47" s="26"/>
      <c r="F47" s="56"/>
      <c r="G47" s="29"/>
    </row>
    <row r="48" spans="1:7" ht="20.100000000000001" customHeight="1">
      <c r="A48" s="117"/>
      <c r="B48" s="26">
        <f t="shared" si="4"/>
        <v>39</v>
      </c>
      <c r="C48" s="27">
        <f>C47+2</f>
        <v>46352</v>
      </c>
      <c r="D48" s="80" t="s">
        <v>67</v>
      </c>
      <c r="E48" s="6">
        <v>30</v>
      </c>
      <c r="F48" s="56"/>
      <c r="G48" s="29" t="s">
        <v>68</v>
      </c>
    </row>
    <row r="49" spans="1:7" ht="20.100000000000001" customHeight="1">
      <c r="A49" s="125">
        <f>A46+1</f>
        <v>16</v>
      </c>
      <c r="B49" s="16">
        <f t="shared" si="4"/>
        <v>40</v>
      </c>
      <c r="C49" s="12">
        <f>C48+3</f>
        <v>46355</v>
      </c>
      <c r="D49" s="81" t="s">
        <v>69</v>
      </c>
      <c r="E49" s="13"/>
      <c r="F49" s="91" t="s">
        <v>70</v>
      </c>
      <c r="G49" s="15"/>
    </row>
    <row r="50" spans="1:7" ht="20.100000000000001" customHeight="1">
      <c r="A50" s="126"/>
      <c r="B50" s="16">
        <f t="shared" si="4"/>
        <v>41</v>
      </c>
      <c r="C50" s="12">
        <f>C49+2</f>
        <v>46357</v>
      </c>
      <c r="D50" s="79" t="s">
        <v>71</v>
      </c>
      <c r="E50" s="55"/>
      <c r="F50" s="24" t="s">
        <v>72</v>
      </c>
      <c r="G50" s="59"/>
    </row>
    <row r="51" spans="1:7" ht="20.100000000000001" customHeight="1">
      <c r="A51" s="126"/>
      <c r="B51" s="16">
        <f>B50+1</f>
        <v>42</v>
      </c>
      <c r="C51" s="60">
        <f>C50+2</f>
        <v>46359</v>
      </c>
      <c r="D51" s="79" t="s">
        <v>71</v>
      </c>
      <c r="E51" s="61"/>
      <c r="F51" s="101" t="s">
        <v>72</v>
      </c>
      <c r="G51" s="62" t="s">
        <v>73</v>
      </c>
    </row>
    <row r="52" spans="1:7" ht="20.100000000000001" customHeight="1">
      <c r="A52" s="128">
        <f>A49+1</f>
        <v>17</v>
      </c>
      <c r="B52" s="9">
        <f>B51+1</f>
        <v>43</v>
      </c>
      <c r="C52" s="63">
        <f>C51+3</f>
        <v>46362</v>
      </c>
      <c r="D52" s="78" t="s">
        <v>71</v>
      </c>
      <c r="E52" s="9"/>
      <c r="F52" s="102" t="s">
        <v>72</v>
      </c>
      <c r="G52" s="64"/>
    </row>
    <row r="53" spans="1:7" ht="20.100000000000001" customHeight="1">
      <c r="A53" s="128"/>
      <c r="B53" s="9">
        <f>B52+1</f>
        <v>44</v>
      </c>
      <c r="C53" s="63">
        <f>C52+2</f>
        <v>46364</v>
      </c>
      <c r="D53" s="78" t="s">
        <v>71</v>
      </c>
      <c r="E53" s="9"/>
      <c r="F53" s="102" t="s">
        <v>72</v>
      </c>
      <c r="G53" s="64"/>
    </row>
    <row r="54" spans="1:7" ht="20.100000000000001" customHeight="1">
      <c r="A54" s="128"/>
      <c r="B54" s="9">
        <f>B53+1</f>
        <v>45</v>
      </c>
      <c r="C54" s="27">
        <f>C53+2</f>
        <v>46366</v>
      </c>
      <c r="D54" s="78" t="s">
        <v>71</v>
      </c>
      <c r="E54" s="9"/>
      <c r="F54" s="102" t="s">
        <v>72</v>
      </c>
      <c r="G54" s="64"/>
    </row>
    <row r="55" spans="1:7" ht="20.100000000000001" customHeight="1">
      <c r="A55" s="123">
        <f>A52+1</f>
        <v>18</v>
      </c>
      <c r="B55" s="16"/>
      <c r="C55" s="12">
        <f>C54+3</f>
        <v>46369</v>
      </c>
      <c r="D55" s="54"/>
      <c r="E55" s="13"/>
      <c r="F55" s="24" t="s">
        <v>74</v>
      </c>
      <c r="G55" s="15"/>
    </row>
    <row r="56" spans="1:7" ht="20.100000000000001" customHeight="1">
      <c r="A56" s="123"/>
      <c r="B56" s="16"/>
      <c r="C56" s="12">
        <f>C55+2</f>
        <v>46371</v>
      </c>
      <c r="D56" s="58"/>
      <c r="E56" s="55"/>
      <c r="F56" s="24"/>
      <c r="G56" s="59"/>
    </row>
    <row r="57" spans="1:7" ht="20.100000000000001" customHeight="1" thickBot="1">
      <c r="A57" s="124"/>
      <c r="B57" s="65"/>
      <c r="C57" s="66">
        <f>C56+2</f>
        <v>46373</v>
      </c>
      <c r="D57" s="67"/>
      <c r="E57" s="65"/>
      <c r="F57" s="68"/>
      <c r="G57" s="69"/>
    </row>
  </sheetData>
  <mergeCells count="19">
    <mergeCell ref="A22:A24"/>
    <mergeCell ref="A25:A27"/>
    <mergeCell ref="A28:A30"/>
    <mergeCell ref="A1:G2"/>
    <mergeCell ref="A4:A6"/>
    <mergeCell ref="A7:A9"/>
    <mergeCell ref="A10:A12"/>
    <mergeCell ref="A55:A57"/>
    <mergeCell ref="A43:A45"/>
    <mergeCell ref="A46:A48"/>
    <mergeCell ref="A49:A51"/>
    <mergeCell ref="A52:A54"/>
    <mergeCell ref="A34:A36"/>
    <mergeCell ref="A37:A39"/>
    <mergeCell ref="A40:A42"/>
    <mergeCell ref="A31:A33"/>
    <mergeCell ref="A13:A15"/>
    <mergeCell ref="A16:A18"/>
    <mergeCell ref="A19:A21"/>
  </mergeCells>
  <pageMargins left="0.25" right="0.25" top="0.75" bottom="0.75" header="0.3" footer="0.3"/>
  <pageSetup paperSize="9" fitToWidth="0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9aa5e6b-29d3-4cc3-91c1-494b6d47ec6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798DB92D985D49B2859695D67838A0" ma:contentTypeVersion="16" ma:contentTypeDescription="Create a new document." ma:contentTypeScope="" ma:versionID="b5223b099770a9098a19f6e3192b3545">
  <xsd:schema xmlns:xsd="http://www.w3.org/2001/XMLSchema" xmlns:xs="http://www.w3.org/2001/XMLSchema" xmlns:p="http://schemas.microsoft.com/office/2006/metadata/properties" xmlns:ns3="29aa5e6b-29d3-4cc3-91c1-494b6d47ec60" xmlns:ns4="a0698f00-7632-4780-99e0-4ae6e3d0dd25" targetNamespace="http://schemas.microsoft.com/office/2006/metadata/properties" ma:root="true" ma:fieldsID="d9184cb066e2dd5b732617f9b86be2f5" ns3:_="" ns4:_="">
    <xsd:import namespace="29aa5e6b-29d3-4cc3-91c1-494b6d47ec60"/>
    <xsd:import namespace="a0698f00-7632-4780-99e0-4ae6e3d0dd2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OCR" minOccurs="0"/>
                <xsd:element ref="ns3:MediaServiceSearchProperties" minOccurs="0"/>
                <xsd:element ref="ns3:MediaServiceSystemTags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aa5e6b-29d3-4cc3-91c1-494b6d47ec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698f00-7632-4780-99e0-4ae6e3d0dd2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E0B101-B7D6-4AEC-9F1A-8BA3C7B79D0A}"/>
</file>

<file path=customXml/itemProps2.xml><?xml version="1.0" encoding="utf-8"?>
<ds:datastoreItem xmlns:ds="http://schemas.openxmlformats.org/officeDocument/2006/customXml" ds:itemID="{2EB73536-AD11-4269-9B23-99CDECCF13EE}"/>
</file>

<file path=customXml/itemProps3.xml><?xml version="1.0" encoding="utf-8"?>
<ds:datastoreItem xmlns:ds="http://schemas.openxmlformats.org/officeDocument/2006/customXml" ds:itemID="{C171B357-FE11-4E16-A0ED-AA4686C3F5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Stephen Nial Mahony</dc:creator>
  <cp:keywords/>
  <dc:description/>
  <cp:lastModifiedBy/>
  <cp:revision/>
  <dcterms:created xsi:type="dcterms:W3CDTF">2024-04-23T15:17:31Z</dcterms:created>
  <dcterms:modified xsi:type="dcterms:W3CDTF">2026-10-17T16:10:44Z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0x010100A3798DB92D985D49B2859695D67838A0</vt:lpwstr>
  </property>
  <property fmtid="{D5CDD505-2E9C-101B-9397-08002B2CF9AE}" pid="3" name="MediaServiceImageTags">
    <vt:lpwstr/>
  </property>
</Properties>
</file>